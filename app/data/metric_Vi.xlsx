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ET\ViCRISPR\backend\app\data\"/>
    </mc:Choice>
  </mc:AlternateContent>
  <xr:revisionPtr revIDLastSave="0" documentId="13_ncr:1_{0914D76E-D887-441C-949E-0078D5FC2112}" xr6:coauthVersionLast="47" xr6:coauthVersionMax="47" xr10:uidLastSave="{00000000-0000-0000-0000-000000000000}"/>
  <bookViews>
    <workbookView xWindow="-108" yWindow="-108" windowWidth="23256" windowHeight="12720" xr2:uid="{7C1D5413-E84B-45DD-8E18-321C6D38D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9" i="1"/>
  <c r="J10" i="1"/>
  <c r="J11" i="1"/>
  <c r="J12" i="1"/>
  <c r="J8" i="1"/>
  <c r="I13" i="1"/>
  <c r="I9" i="1"/>
  <c r="I10" i="1"/>
  <c r="I11" i="1"/>
  <c r="I12" i="1"/>
  <c r="I8" i="1"/>
</calcChain>
</file>

<file path=xl/sharedStrings.xml><?xml version="1.0" encoding="utf-8"?>
<sst xmlns="http://schemas.openxmlformats.org/spreadsheetml/2006/main" count="12" uniqueCount="12">
  <si>
    <t>Regions</t>
  </si>
  <si>
    <t>NC_000913.3:2001-42000</t>
  </si>
  <si>
    <t>NC_000913.3:80001-120000</t>
  </si>
  <si>
    <t>NC_000913.3:160001-200000</t>
  </si>
  <si>
    <t>NC_000913.3:240001-280000</t>
  </si>
  <si>
    <t>NC_000913.3:320001-360000</t>
  </si>
  <si>
    <t>ViCRISPR</t>
  </si>
  <si>
    <t>CHOPCHOP</t>
  </si>
  <si>
    <t>Ratio</t>
  </si>
  <si>
    <t>Overlapping ratio</t>
  </si>
  <si>
    <t>Average</t>
  </si>
  <si>
    <t>In G, not in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</si>
</sst>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58E2-568F-4689-B316-FDF1E4554FD2}">
  <dimension ref="F7:K13"/>
  <sheetViews>
    <sheetView tabSelected="1" topLeftCell="B1" zoomScale="150" zoomScaleNormal="150" workbookViewId="0">
      <selection activeCell="J2" sqref="J2"/>
    </sheetView>
  </sheetViews>
  <sheetFormatPr defaultRowHeight="14.4" x14ac:dyDescent="0.3"/>
  <cols>
    <col min="6" max="6" width="29.109375" customWidth="1"/>
    <col min="7" max="7" width="14.33203125" customWidth="1"/>
    <col min="8" max="9" width="13.44140625" customWidth="1"/>
    <col min="10" max="10" width="15.77734375" customWidth="1"/>
    <col min="11" max="11" width="12" customWidth="1"/>
  </cols>
  <sheetData>
    <row r="7" spans="6:11" x14ac:dyDescent="0.3">
      <c r="F7" s="1" t="s">
        <v>0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11</v>
      </c>
    </row>
    <row r="8" spans="6:11" x14ac:dyDescent="0.3">
      <c r="F8" s="2" t="s">
        <v>1</v>
      </c>
      <c r="G8" s="2">
        <v>2326</v>
      </c>
      <c r="H8" s="2">
        <v>4675</v>
      </c>
      <c r="I8" s="2">
        <f>G8/H8</f>
        <v>0.49754010695187167</v>
      </c>
      <c r="J8" s="2">
        <f>(G8-K8)/G8</f>
        <v>0.969475494411006</v>
      </c>
      <c r="K8" s="2">
        <v>71</v>
      </c>
    </row>
    <row r="9" spans="6:11" x14ac:dyDescent="0.3">
      <c r="F9" s="2" t="s">
        <v>2</v>
      </c>
      <c r="G9" s="2">
        <v>2681</v>
      </c>
      <c r="H9" s="2">
        <v>4613</v>
      </c>
      <c r="I9" s="2">
        <f t="shared" ref="I9:I12" si="0">G9/H9</f>
        <v>0.58118361153262521</v>
      </c>
      <c r="J9" s="2">
        <f t="shared" ref="J9:J12" si="1">(G9-K9)/G9</f>
        <v>0.97575531518090264</v>
      </c>
      <c r="K9" s="2">
        <v>65</v>
      </c>
    </row>
    <row r="10" spans="6:11" x14ac:dyDescent="0.3">
      <c r="F10" s="2" t="s">
        <v>3</v>
      </c>
      <c r="G10" s="2">
        <v>2311</v>
      </c>
      <c r="H10" s="2">
        <v>4658</v>
      </c>
      <c r="I10" s="2">
        <f t="shared" si="0"/>
        <v>0.49613568054959212</v>
      </c>
      <c r="J10" s="2">
        <f t="shared" si="1"/>
        <v>0.96754651665945479</v>
      </c>
      <c r="K10" s="2">
        <v>75</v>
      </c>
    </row>
    <row r="11" spans="6:11" x14ac:dyDescent="0.3">
      <c r="F11" s="2" t="s">
        <v>4</v>
      </c>
      <c r="G11" s="2">
        <v>2035</v>
      </c>
      <c r="H11" s="2">
        <v>4813</v>
      </c>
      <c r="I11" s="2">
        <f t="shared" si="0"/>
        <v>0.42281321421151047</v>
      </c>
      <c r="J11" s="2">
        <f t="shared" si="1"/>
        <v>0.97248157248157252</v>
      </c>
      <c r="K11" s="2">
        <v>56</v>
      </c>
    </row>
    <row r="12" spans="6:11" x14ac:dyDescent="0.3">
      <c r="F12" s="2" t="s">
        <v>5</v>
      </c>
      <c r="G12" s="2">
        <v>2357</v>
      </c>
      <c r="H12" s="2">
        <v>4725</v>
      </c>
      <c r="I12" s="2">
        <f t="shared" si="0"/>
        <v>0.49883597883597885</v>
      </c>
      <c r="J12" s="2">
        <f t="shared" si="1"/>
        <v>0.97411964361476455</v>
      </c>
      <c r="K12" s="2">
        <v>61</v>
      </c>
    </row>
    <row r="13" spans="6:11" x14ac:dyDescent="0.3">
      <c r="F13" s="2"/>
      <c r="G13" s="2"/>
      <c r="H13" s="3" t="s">
        <v>10</v>
      </c>
      <c r="I13" s="2">
        <f>AVERAGE(I8:I12)</f>
        <v>0.4993017184163156</v>
      </c>
      <c r="J13" s="2">
        <f>AVERAGE(J8:J12)</f>
        <v>0.97187570846954008</v>
      </c>
      <c r="K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khong phai dao linh</dc:creator>
  <cp:lastModifiedBy>khong phai dao linh</cp:lastModifiedBy>
  <dcterms:created xsi:type="dcterms:W3CDTF">2025-10-28T04:47:21Z</dcterms:created>
  <dcterms:modified xsi:type="dcterms:W3CDTF">2025-10-28T04:56:15Z</dcterms:modified>
</cp:coreProperties>
</file>